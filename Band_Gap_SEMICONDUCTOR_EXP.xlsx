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<sst xmlns="http://schemas.openxmlformats.org/spreadsheetml/2006/main" count="8" uniqueCount="8">
  <si>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T_C</t>
  </si>
  <si>
    <t xml:space="preserve">T_K</t>
  </si>
  <si>
    <t xml:space="preserve">R_kOhm</t>
  </si>
  <si>
    <t xml:space="preserve">R_Ohm</t>
  </si>
  <si>
    <t xml:space="preserve">1_T</t>
  </si>
  <si>
    <t xml:space="preserve">Y_LN1_R</t>
  </si>
  <si>
    <t xml:space="preserve">X^2</t>
  </si>
  <si>
    <t xml:space="preserve">xy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</si>
</sst>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453125" defaultRowHeight="14.25" zeroHeight="false" outlineLevelRow="0" outlineLevelCol="0"/>
  <cols>
    <col collapsed="false" customWidth="true" hidden="false" outlineLevel="0" max="7" min="7" style="0" width="12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4.25" hidden="false" customHeight="false" outlineLevel="0" collapsed="false">
      <c r="A2" s="0" t="n">
        <v>30</v>
      </c>
      <c r="B2" s="0" t="n">
        <f aca="false">A2+273</f>
        <v>303</v>
      </c>
      <c r="C2" s="0" t="n">
        <v>8.44</v>
      </c>
      <c r="D2" s="0" t="n">
        <f aca="false">C2*10^3</f>
        <v>8440</v>
      </c>
      <c r="E2" s="0" t="n">
        <f aca="false">1/B2</f>
        <v>0.0033003300330033</v>
      </c>
      <c r="F2" s="0" t="n">
        <f aca="false">LN(1/C2)</f>
        <v>-2.13298230860787</v>
      </c>
      <c r="G2" s="0" t="n">
        <f aca="false">E2^2</f>
        <v>1.08921783267436E-005</v>
      </c>
      <c r="H2" s="0" t="n">
        <f aca="false">E2*F2</f>
        <v>-0.00703954557296325</v>
      </c>
    </row>
    <row r="3" customFormat="false" ht="14.25" hidden="false" customHeight="false" outlineLevel="0" collapsed="false">
      <c r="A3" s="0" t="n">
        <v>32</v>
      </c>
      <c r="B3" s="0" t="n">
        <f aca="false">A3+273</f>
        <v>305</v>
      </c>
      <c r="C3" s="0" t="n">
        <v>8.71</v>
      </c>
      <c r="D3" s="0" t="n">
        <f aca="false">C3*10^3</f>
        <v>8710</v>
      </c>
      <c r="E3" s="0" t="n">
        <f aca="false">1/B3</f>
        <v>0.00327868852459016</v>
      </c>
      <c r="F3" s="0" t="n">
        <f aca="false">LN(1/C3)</f>
        <v>-2.16447179086441</v>
      </c>
      <c r="G3" s="0" t="n">
        <f aca="false">E3^2</f>
        <v>1.07497984412792E-005</v>
      </c>
      <c r="H3" s="0" t="n">
        <f aca="false">E3*F3</f>
        <v>-0.00709662882250627</v>
      </c>
    </row>
    <row r="4" customFormat="false" ht="14.25" hidden="false" customHeight="false" outlineLevel="0" collapsed="false">
      <c r="A4" s="0" t="n">
        <v>34</v>
      </c>
      <c r="B4" s="0" t="n">
        <f aca="false">A4+273</f>
        <v>307</v>
      </c>
      <c r="C4" s="0" t="n">
        <v>8.73</v>
      </c>
      <c r="D4" s="0" t="n">
        <f aca="false">C4*10^3</f>
        <v>8730</v>
      </c>
      <c r="E4" s="0" t="n">
        <f aca="false">1/B4</f>
        <v>0.00325732899022801</v>
      </c>
      <c r="F4" s="0" t="n">
        <f aca="false">LN(1/C4)</f>
        <v>-2.16676536985151</v>
      </c>
      <c r="G4" s="0" t="n">
        <f aca="false">E4^2</f>
        <v>1.06101921505798E-005</v>
      </c>
      <c r="H4" s="0" t="n">
        <f aca="false">E4*F4</f>
        <v>-0.00705786765423945</v>
      </c>
    </row>
    <row r="5" customFormat="false" ht="14.25" hidden="false" customHeight="false" outlineLevel="0" collapsed="false">
      <c r="A5" s="0" t="n">
        <v>36</v>
      </c>
      <c r="B5" s="0" t="n">
        <f aca="false">A5+273</f>
        <v>309</v>
      </c>
      <c r="C5" s="0" t="n">
        <v>7.9</v>
      </c>
      <c r="D5" s="0" t="n">
        <f aca="false">C5*10^3</f>
        <v>7900</v>
      </c>
      <c r="E5" s="0" t="n">
        <f aca="false">1/B5</f>
        <v>0.00323624595469256</v>
      </c>
      <c r="F5" s="0" t="n">
        <f aca="false">LN(1/C5)</f>
        <v>-2.06686275947298</v>
      </c>
      <c r="G5" s="0" t="n">
        <f aca="false">E5^2</f>
        <v>1.04732878792639E-005</v>
      </c>
      <c r="H5" s="0" t="n">
        <f aca="false">E5*F5</f>
        <v>-0.00668887624424911</v>
      </c>
    </row>
    <row r="6" customFormat="false" ht="14.25" hidden="false" customHeight="false" outlineLevel="0" collapsed="false">
      <c r="A6" s="0" t="n">
        <v>38</v>
      </c>
      <c r="B6" s="0" t="n">
        <f aca="false">A6+273</f>
        <v>311</v>
      </c>
      <c r="C6" s="0" t="n">
        <v>6.74</v>
      </c>
      <c r="D6" s="0" t="n">
        <f aca="false">C6*10^3</f>
        <v>6740</v>
      </c>
      <c r="E6" s="0" t="n">
        <f aca="false">1/B6</f>
        <v>0.00321543408360129</v>
      </c>
      <c r="F6" s="0" t="n">
        <f aca="false">LN(1/C6)</f>
        <v>-1.90805992492422</v>
      </c>
      <c r="G6" s="0" t="n">
        <f aca="false">E6^2</f>
        <v>1.03390163459848E-005</v>
      </c>
      <c r="H6" s="0" t="n">
        <f aca="false">E6*F6</f>
        <v>-0.00613524091615504</v>
      </c>
    </row>
    <row r="7" customFormat="false" ht="14.25" hidden="false" customHeight="false" outlineLevel="0" collapsed="false">
      <c r="A7" s="0" t="n">
        <v>40</v>
      </c>
      <c r="B7" s="0" t="n">
        <f aca="false">A7+273</f>
        <v>313</v>
      </c>
      <c r="C7" s="0" t="n">
        <v>6.18</v>
      </c>
      <c r="D7" s="0" t="n">
        <f aca="false">C7*10^3</f>
        <v>6180</v>
      </c>
      <c r="E7" s="0" t="n">
        <f aca="false">1/B7</f>
        <v>0.00319488817891374</v>
      </c>
      <c r="F7" s="0" t="n">
        <f aca="false">LN(1/C7)</f>
        <v>-1.8213182714696</v>
      </c>
      <c r="G7" s="0" t="n">
        <f aca="false">E7^2</f>
        <v>1.02073104757627E-005</v>
      </c>
      <c r="H7" s="0" t="n">
        <f aca="false">E7*F7</f>
        <v>-0.00581890821555782</v>
      </c>
    </row>
    <row r="8" customFormat="false" ht="14.25" hidden="false" customHeight="false" outlineLevel="0" collapsed="false">
      <c r="A8" s="0" t="n">
        <v>42</v>
      </c>
      <c r="B8" s="0" t="n">
        <f aca="false">A8+273</f>
        <v>315</v>
      </c>
      <c r="C8" s="0" t="n">
        <v>5.63</v>
      </c>
      <c r="D8" s="0" t="n">
        <f aca="false">C8*10^3</f>
        <v>5630</v>
      </c>
      <c r="E8" s="0" t="n">
        <f aca="false">1/B8</f>
        <v>0.00317460317460317</v>
      </c>
      <c r="F8" s="0" t="n">
        <f aca="false">LN(1/C8)</f>
        <v>-1.7281094421516</v>
      </c>
      <c r="G8" s="0" t="n">
        <f aca="false">E8^2</f>
        <v>1.00781053162006E-005</v>
      </c>
      <c r="H8" s="0" t="n">
        <f aca="false">E8*F8</f>
        <v>-0.00548606172111619</v>
      </c>
    </row>
    <row r="9" customFormat="false" ht="14.25" hidden="false" customHeight="false" outlineLevel="0" collapsed="false">
      <c r="A9" s="0" t="n">
        <v>44</v>
      </c>
      <c r="B9" s="0" t="n">
        <f aca="false">A9+273</f>
        <v>317</v>
      </c>
      <c r="C9" s="0" t="n">
        <v>5.25</v>
      </c>
      <c r="D9" s="0" t="n">
        <f aca="false">C9*10^3</f>
        <v>5250</v>
      </c>
      <c r="E9" s="0" t="n">
        <f aca="false">1/B9</f>
        <v>0.00315457413249211</v>
      </c>
      <c r="F9" s="0" t="n">
        <f aca="false">LN(1/C9)</f>
        <v>-1.65822807660353</v>
      </c>
      <c r="G9" s="0" t="n">
        <f aca="false">E9^2</f>
        <v>9.95133795738837E-006</v>
      </c>
      <c r="H9" s="0" t="n">
        <f aca="false">E9*F9</f>
        <v>-0.00523100339622565</v>
      </c>
    </row>
    <row r="10" customFormat="false" ht="14.25" hidden="false" customHeight="false" outlineLevel="0" collapsed="false">
      <c r="A10" s="0" t="n">
        <v>46</v>
      </c>
      <c r="B10" s="0" t="n">
        <f aca="false">A10+273</f>
        <v>319</v>
      </c>
      <c r="C10" s="0" t="n">
        <v>4.85</v>
      </c>
      <c r="D10" s="0" t="n">
        <f aca="false">C10*10^3</f>
        <v>4850</v>
      </c>
      <c r="E10" s="0" t="n">
        <f aca="false">1/B10</f>
        <v>0.00313479623824451</v>
      </c>
      <c r="F10" s="0" t="n">
        <f aca="false">LN(1/C10)</f>
        <v>-1.57897870494939</v>
      </c>
      <c r="G10" s="0" t="n">
        <f aca="false">E10^2</f>
        <v>9.82694745531196E-006</v>
      </c>
      <c r="H10" s="0" t="n">
        <f aca="false">E10*F10</f>
        <v>-0.00494977650454355</v>
      </c>
    </row>
    <row r="11" customFormat="false" ht="14.25" hidden="false" customHeight="false" outlineLevel="0" collapsed="false">
      <c r="A11" s="0" t="n">
        <v>48</v>
      </c>
      <c r="B11" s="0" t="n">
        <f aca="false">A11+273</f>
        <v>321</v>
      </c>
      <c r="C11" s="0" t="n">
        <v>4.52</v>
      </c>
      <c r="D11" s="0" t="n">
        <f aca="false">C11*10^3</f>
        <v>4520</v>
      </c>
      <c r="E11" s="0" t="n">
        <f aca="false">1/B11</f>
        <v>0.00311526479750779</v>
      </c>
      <c r="F11" s="0" t="n">
        <f aca="false">LN(1/C11)</f>
        <v>-1.50851199384414</v>
      </c>
      <c r="G11" s="0" t="n">
        <f aca="false">E11^2</f>
        <v>9.70487475859124E-006</v>
      </c>
      <c r="H11" s="0" t="n">
        <f aca="false">E11*F11</f>
        <v>-0.00469941431104093</v>
      </c>
    </row>
    <row r="12" customFormat="false" ht="14.25" hidden="false" customHeight="false" outlineLevel="0" collapsed="false">
      <c r="A12" s="0" t="n">
        <v>50</v>
      </c>
      <c r="B12" s="0" t="n">
        <f aca="false">A12+273</f>
        <v>323</v>
      </c>
      <c r="C12" s="0" t="n">
        <v>4.24</v>
      </c>
      <c r="D12" s="0" t="n">
        <f aca="false">C12*10^3</f>
        <v>4240</v>
      </c>
      <c r="E12" s="0" t="n">
        <f aca="false">1/B12</f>
        <v>0.00309597523219814</v>
      </c>
      <c r="F12" s="0" t="n">
        <f aca="false">LN(1/C12)</f>
        <v>-1.44456326924387</v>
      </c>
      <c r="G12" s="0" t="n">
        <f aca="false">E12^2</f>
        <v>9.58506263838434E-006</v>
      </c>
      <c r="H12" s="0" t="n">
        <f aca="false">E12*F12</f>
        <v>-0.00447233210292219</v>
      </c>
    </row>
    <row r="13" customFormat="false" ht="14.25" hidden="false" customHeight="false" outlineLevel="0" collapsed="false">
      <c r="A13" s="0" t="n">
        <v>52</v>
      </c>
      <c r="B13" s="0" t="n">
        <f aca="false">A13+273</f>
        <v>325</v>
      </c>
      <c r="C13" s="0" t="n">
        <v>3.93</v>
      </c>
      <c r="D13" s="0" t="n">
        <f aca="false">C13*10^3</f>
        <v>3930</v>
      </c>
      <c r="E13" s="0" t="n">
        <f aca="false">1/B13</f>
        <v>0.00307692307692308</v>
      </c>
      <c r="F13" s="0" t="n">
        <f aca="false">LN(1/C13)</f>
        <v>-1.36863942588117</v>
      </c>
      <c r="G13" s="0" t="n">
        <f aca="false">E13^2</f>
        <v>9.46745562130177E-006</v>
      </c>
      <c r="H13" s="0" t="n">
        <f aca="false">E13*F13</f>
        <v>-0.00421119823348052</v>
      </c>
    </row>
    <row r="14" customFormat="false" ht="14.25" hidden="false" customHeight="false" outlineLevel="0" collapsed="false">
      <c r="A14" s="0" t="n">
        <v>54</v>
      </c>
      <c r="B14" s="0" t="n">
        <f aca="false">A14+273</f>
        <v>327</v>
      </c>
      <c r="C14" s="0" t="n">
        <v>3.66</v>
      </c>
      <c r="D14" s="0" t="n">
        <f aca="false">C14*10^3</f>
        <v>3660</v>
      </c>
      <c r="E14" s="0" t="n">
        <f aca="false">1/B14</f>
        <v>0.00305810397553517</v>
      </c>
      <c r="F14" s="0" t="n">
        <f aca="false">LN(1/C14)</f>
        <v>-1.29746314741328</v>
      </c>
      <c r="G14" s="0" t="n">
        <f aca="false">E14^2</f>
        <v>9.351999925184E-006</v>
      </c>
      <c r="H14" s="0" t="n">
        <f aca="false">E14*F14</f>
        <v>-0.00396777720921491</v>
      </c>
    </row>
    <row r="15" customFormat="false" ht="14.25" hidden="false" customHeight="false" outlineLevel="0" collapsed="false">
      <c r="A15" s="0" t="n">
        <v>56</v>
      </c>
      <c r="B15" s="0" t="n">
        <f aca="false">A15+273</f>
        <v>329</v>
      </c>
      <c r="C15" s="0" t="n">
        <v>3.358</v>
      </c>
      <c r="D15" s="0" t="n">
        <f aca="false">C15*10^3</f>
        <v>3358</v>
      </c>
      <c r="E15" s="0" t="n">
        <f aca="false">1/B15</f>
        <v>0.00303951367781155</v>
      </c>
      <c r="F15" s="0" t="n">
        <f aca="false">LN(1/C15)</f>
        <v>-1.21134555865535</v>
      </c>
      <c r="G15" s="0" t="n">
        <f aca="false">E15^2</f>
        <v>9.2386433976035E-006</v>
      </c>
      <c r="H15" s="0" t="n">
        <f aca="false">E15*F15</f>
        <v>-0.00368190139408921</v>
      </c>
    </row>
    <row r="16" customFormat="false" ht="14.25" hidden="false" customHeight="false" outlineLevel="0" collapsed="false">
      <c r="A16" s="0" t="n">
        <v>58</v>
      </c>
      <c r="B16" s="0" t="n">
        <f aca="false">A16+273</f>
        <v>331</v>
      </c>
      <c r="C16" s="0" t="n">
        <v>3.109</v>
      </c>
      <c r="D16" s="0" t="n">
        <f aca="false">C16*10^3</f>
        <v>3109</v>
      </c>
      <c r="E16" s="0" t="n">
        <f aca="false">1/B16</f>
        <v>0.00302114803625378</v>
      </c>
      <c r="F16" s="0" t="n">
        <f aca="false">LN(1/C16)</f>
        <v>-1.13430113107662</v>
      </c>
      <c r="G16" s="0" t="n">
        <f aca="false">E16^2</f>
        <v>9.12733545696005E-006</v>
      </c>
      <c r="H16" s="0" t="n">
        <f aca="false">E16*F16</f>
        <v>-0.00342689163467256</v>
      </c>
    </row>
    <row r="17" customFormat="false" ht="14.25" hidden="false" customHeight="false" outlineLevel="0" collapsed="false">
      <c r="A17" s="0" t="n">
        <v>60</v>
      </c>
      <c r="B17" s="0" t="n">
        <f aca="false">A17+273</f>
        <v>333</v>
      </c>
      <c r="C17" s="0" t="n">
        <v>2.923</v>
      </c>
      <c r="D17" s="0" t="n">
        <f aca="false">C17*10^3</f>
        <v>2923</v>
      </c>
      <c r="E17" s="0" t="n">
        <f aca="false">1/B17</f>
        <v>0.003003003003003</v>
      </c>
      <c r="F17" s="0" t="n">
        <f aca="false">LN(1/C17)</f>
        <v>-1.07261048612911</v>
      </c>
      <c r="G17" s="0" t="n">
        <f aca="false">E17^2</f>
        <v>9.01802703604506E-006</v>
      </c>
      <c r="H17" s="0" t="n">
        <f aca="false">E17*F17</f>
        <v>-0.00322105251089822</v>
      </c>
    </row>
    <row r="18" customFormat="false" ht="14.25" hidden="false" customHeight="false" outlineLevel="0" collapsed="false">
      <c r="A18" s="0" t="n">
        <v>62</v>
      </c>
      <c r="B18" s="0" t="n">
        <f aca="false">A18+273</f>
        <v>335</v>
      </c>
      <c r="C18" s="0" t="n">
        <v>2.683</v>
      </c>
      <c r="D18" s="0" t="n">
        <f aca="false">C18*10^3</f>
        <v>2683</v>
      </c>
      <c r="E18" s="0" t="n">
        <f aca="false">1/B18</f>
        <v>0.00298507462686567</v>
      </c>
      <c r="F18" s="0" t="n">
        <f aca="false">LN(1/C18)</f>
        <v>-0.986935571443487</v>
      </c>
      <c r="G18" s="0" t="n">
        <f aca="false">E18^2</f>
        <v>8.91067052795723E-006</v>
      </c>
      <c r="H18" s="0" t="n">
        <f aca="false">E18*F18</f>
        <v>-0.00294607633266713</v>
      </c>
    </row>
    <row r="19" customFormat="false" ht="14.25" hidden="false" customHeight="false" outlineLevel="0" collapsed="false">
      <c r="A19" s="0" t="n">
        <v>64</v>
      </c>
      <c r="B19" s="0" t="n">
        <f aca="false">A19+273</f>
        <v>337</v>
      </c>
      <c r="C19" s="0" t="n">
        <v>2.523</v>
      </c>
      <c r="D19" s="0" t="n">
        <f aca="false">C19*10^3</f>
        <v>2523</v>
      </c>
      <c r="E19" s="0" t="n">
        <f aca="false">1/B19</f>
        <v>0.0029673590504451</v>
      </c>
      <c r="F19" s="0" t="n">
        <f aca="false">LN(1/C19)</f>
        <v>-0.925448669658921</v>
      </c>
      <c r="G19" s="0" t="n">
        <f aca="false">E19^2</f>
        <v>8.80521973425847E-006</v>
      </c>
      <c r="H19" s="0" t="n">
        <f aca="false">E19*F19</f>
        <v>-0.00274613848563478</v>
      </c>
    </row>
    <row r="20" customFormat="false" ht="14.25" hidden="false" customHeight="false" outlineLevel="0" collapsed="false">
      <c r="A20" s="0" t="n">
        <v>66</v>
      </c>
      <c r="B20" s="0" t="n">
        <f aca="false">A20+273</f>
        <v>339</v>
      </c>
      <c r="C20" s="0" t="n">
        <v>2.389</v>
      </c>
      <c r="D20" s="0" t="n">
        <f aca="false">C20*10^3</f>
        <v>2389</v>
      </c>
      <c r="E20" s="0" t="n">
        <f aca="false">1/B20</f>
        <v>0.00294985250737463</v>
      </c>
      <c r="F20" s="0" t="n">
        <f aca="false">LN(1/C20)</f>
        <v>-0.870874868343672</v>
      </c>
      <c r="G20" s="0" t="n">
        <f aca="false">E20^2</f>
        <v>8.7016298152644E-006</v>
      </c>
      <c r="H20" s="0" t="n">
        <f aca="false">E20*F20</f>
        <v>-0.00256895241399313</v>
      </c>
    </row>
    <row r="21" customFormat="false" ht="14.25" hidden="false" customHeight="false" outlineLevel="0" collapsed="false">
      <c r="A21" s="0" t="n">
        <v>68</v>
      </c>
      <c r="B21" s="0" t="n">
        <f aca="false">A21+273</f>
        <v>341</v>
      </c>
      <c r="C21" s="0" t="n">
        <v>2.243</v>
      </c>
      <c r="D21" s="0" t="n">
        <f aca="false">C21*10^3</f>
        <v>2243</v>
      </c>
      <c r="E21" s="0" t="n">
        <f aca="false">1/B21</f>
        <v>0.00293255131964809</v>
      </c>
      <c r="F21" s="0" t="n">
        <f aca="false">LN(1/C21)</f>
        <v>-0.807814255538071</v>
      </c>
      <c r="G21" s="0" t="n">
        <f aca="false">E21^2</f>
        <v>8.59985724236978E-006</v>
      </c>
      <c r="H21" s="0" t="n">
        <f aca="false">E21*F21</f>
        <v>-0.00236895676110871</v>
      </c>
    </row>
    <row r="22" customFormat="false" ht="14.25" hidden="false" customHeight="false" outlineLevel="0" collapsed="false">
      <c r="A22" s="0" t="n">
        <v>70</v>
      </c>
      <c r="B22" s="0" t="n">
        <f aca="false">A22+273</f>
        <v>343</v>
      </c>
      <c r="C22" s="0" t="n">
        <v>2.092</v>
      </c>
      <c r="D22" s="0" t="n">
        <f aca="false">C22*10^3</f>
        <v>2092</v>
      </c>
      <c r="E22" s="0" t="n">
        <f aca="false">1/B22</f>
        <v>0.00291545189504373</v>
      </c>
      <c r="F22" s="0" t="n">
        <f aca="false">LN(1/C22)</f>
        <v>-0.738120546202677</v>
      </c>
      <c r="G22" s="0" t="n">
        <f aca="false">E22^2</f>
        <v>8.49985975231409E-006</v>
      </c>
      <c r="H22" s="0" t="n">
        <f aca="false">E22*F22</f>
        <v>-0.00215195494519731</v>
      </c>
    </row>
    <row r="23" customFormat="false" ht="14.25" hidden="false" customHeight="false" outlineLevel="0" collapsed="false">
      <c r="A23" s="0" t="n">
        <v>72</v>
      </c>
      <c r="B23" s="0" t="n">
        <f aca="false">A23+273</f>
        <v>345</v>
      </c>
      <c r="C23" s="0" t="n">
        <v>1.913</v>
      </c>
      <c r="D23" s="0" t="n">
        <f aca="false">C23*10^3</f>
        <v>1913</v>
      </c>
      <c r="E23" s="0" t="n">
        <f aca="false">1/B23</f>
        <v>0.00289855072463768</v>
      </c>
      <c r="F23" s="0" t="n">
        <f aca="false">LN(1/C23)</f>
        <v>-0.648672690458116</v>
      </c>
      <c r="G23" s="0" t="n">
        <f aca="false">E23^2</f>
        <v>8.40159630329763E-006</v>
      </c>
      <c r="H23" s="0" t="n">
        <f aca="false">E23*F23</f>
        <v>-0.00188021069698005</v>
      </c>
    </row>
    <row r="24" customFormat="false" ht="14.25" hidden="false" customHeight="false" outlineLevel="0" collapsed="false">
      <c r="A24" s="0" t="n">
        <v>74</v>
      </c>
      <c r="B24" s="0" t="n">
        <f aca="false">A24+273</f>
        <v>347</v>
      </c>
      <c r="C24" s="0" t="n">
        <v>1.851</v>
      </c>
      <c r="D24" s="0" t="n">
        <f aca="false">C24*10^3</f>
        <v>1851</v>
      </c>
      <c r="E24" s="0" t="n">
        <f aca="false">1/B24</f>
        <v>0.00288184438040346</v>
      </c>
      <c r="F24" s="0" t="n">
        <f aca="false">LN(1/C24)</f>
        <v>-0.615726033591361</v>
      </c>
      <c r="G24" s="0" t="n">
        <f aca="false">E24^2</f>
        <v>8.30502703286299E-006</v>
      </c>
      <c r="H24" s="0" t="n">
        <f aca="false">E24*F24</f>
        <v>-0.00177442660977337</v>
      </c>
    </row>
    <row r="25" customFormat="false" ht="14.25" hidden="false" customHeight="false" outlineLevel="0" collapsed="false">
      <c r="A25" s="0" t="n">
        <v>76</v>
      </c>
      <c r="B25" s="0" t="n">
        <f aca="false">A25+273</f>
        <v>349</v>
      </c>
      <c r="C25" s="0" t="n">
        <v>1.699</v>
      </c>
      <c r="D25" s="0" t="n">
        <f aca="false">C25*10^3</f>
        <v>1699</v>
      </c>
      <c r="E25" s="0" t="n">
        <f aca="false">1/B25</f>
        <v>0.00286532951289398</v>
      </c>
      <c r="F25" s="0" t="n">
        <f aca="false">LN(1/C25)</f>
        <v>-0.530039842689795</v>
      </c>
      <c r="G25" s="0" t="n">
        <f aca="false">E25^2</f>
        <v>8.21011321746127E-006</v>
      </c>
      <c r="H25" s="0" t="n">
        <f aca="false">E25*F25</f>
        <v>-0.00151873880426875</v>
      </c>
    </row>
    <row r="26" customFormat="false" ht="14.25" hidden="false" customHeight="false" outlineLevel="0" collapsed="false">
      <c r="A26" s="0" t="n">
        <v>78</v>
      </c>
      <c r="B26" s="0" t="n">
        <f aca="false">A26+273</f>
        <v>351</v>
      </c>
      <c r="C26" s="0" t="n">
        <v>1.579</v>
      </c>
      <c r="D26" s="0" t="n">
        <f aca="false">C26*10^3</f>
        <v>1579</v>
      </c>
      <c r="E26" s="0" t="n">
        <f aca="false">1/B26</f>
        <v>0.00284900284900285</v>
      </c>
      <c r="F26" s="0" t="n">
        <f aca="false">LN(1/C26)</f>
        <v>-0.456791735273505</v>
      </c>
      <c r="G26" s="0" t="n">
        <f aca="false">E26^2</f>
        <v>8.11681723362635E-006</v>
      </c>
      <c r="H26" s="0" t="n">
        <f aca="false">E26*F26</f>
        <v>-0.00130140095519517</v>
      </c>
    </row>
    <row r="27" customFormat="false" ht="14.25" hidden="false" customHeight="false" outlineLevel="0" collapsed="false">
      <c r="A27" s="0" t="n">
        <v>80</v>
      </c>
      <c r="B27" s="0" t="n">
        <f aca="false">A27+273</f>
        <v>353</v>
      </c>
      <c r="C27" s="0" t="n">
        <v>1.514</v>
      </c>
      <c r="D27" s="0" t="n">
        <f aca="false">C27*10^3</f>
        <v>1514</v>
      </c>
      <c r="E27" s="0" t="n">
        <f aca="false">1/B27</f>
        <v>0.0028328611898017</v>
      </c>
      <c r="F27" s="0" t="n">
        <f aca="false">LN(1/C27)</f>
        <v>-0.414755155015257</v>
      </c>
      <c r="G27" s="0" t="n">
        <f aca="false">E27^2</f>
        <v>8.0251025206847E-006</v>
      </c>
      <c r="H27" s="0" t="n">
        <f aca="false">E27*F27</f>
        <v>-0.00117494378191291</v>
      </c>
    </row>
    <row r="28" customFormat="false" ht="14.25" hidden="false" customHeight="false" outlineLevel="0" collapsed="false">
      <c r="A28" s="0" t="n">
        <v>82</v>
      </c>
      <c r="B28" s="0" t="n">
        <f aca="false">A28+273</f>
        <v>355</v>
      </c>
      <c r="C28" s="0" t="n">
        <v>1.43</v>
      </c>
      <c r="D28" s="0" t="n">
        <f aca="false">C28*10^3</f>
        <v>1430</v>
      </c>
      <c r="E28" s="0" t="n">
        <f aca="false">1/B28</f>
        <v>0.0028169014084507</v>
      </c>
      <c r="F28" s="0" t="n">
        <f aca="false">LN(1/C28)</f>
        <v>-0.357674444271816</v>
      </c>
      <c r="G28" s="0" t="n">
        <f aca="false">E28^2</f>
        <v>7.93493354493156E-006</v>
      </c>
      <c r="H28" s="0" t="n">
        <f aca="false">E28*F28</f>
        <v>-0.0010075336458361</v>
      </c>
    </row>
    <row r="29" customFormat="false" ht="14.25" hidden="false" customHeight="false" outlineLevel="0" collapsed="false">
      <c r="A29" s="0" t="n">
        <v>84</v>
      </c>
      <c r="B29" s="0" t="n">
        <f aca="false">A29+273</f>
        <v>357</v>
      </c>
      <c r="C29" s="0" t="n">
        <v>1.368</v>
      </c>
      <c r="D29" s="0" t="n">
        <f aca="false">C29*10^3</f>
        <v>1368</v>
      </c>
      <c r="E29" s="0" t="n">
        <f aca="false">1/B29</f>
        <v>0.00280112044817927</v>
      </c>
      <c r="F29" s="0" t="n">
        <f aca="false">LN(1/C29)</f>
        <v>-0.313349819200359</v>
      </c>
      <c r="G29" s="0" t="n">
        <f aca="false">E29^2</f>
        <v>7.84627576520805E-006</v>
      </c>
      <c r="H29" s="0" t="n">
        <f aca="false">E29*F29</f>
        <v>-0.000877730585995403</v>
      </c>
    </row>
    <row r="30" customFormat="false" ht="14.25" hidden="false" customHeight="false" outlineLevel="0" collapsed="false">
      <c r="A30" s="0" t="n">
        <v>86</v>
      </c>
      <c r="B30" s="0" t="n">
        <f aca="false">A30+273</f>
        <v>359</v>
      </c>
      <c r="C30" s="0" t="n">
        <v>1.262</v>
      </c>
      <c r="D30" s="0" t="n">
        <f aca="false">C30*10^3</f>
        <v>1262</v>
      </c>
      <c r="E30" s="0" t="n">
        <f aca="false">1/B30</f>
        <v>0.00278551532033426</v>
      </c>
      <c r="F30" s="0" t="n">
        <f aca="false">LN(1/C30)</f>
        <v>-0.232697764119021</v>
      </c>
      <c r="G30" s="0" t="n">
        <f aca="false">E30^2</f>
        <v>7.75909559981689E-006</v>
      </c>
      <c r="H30" s="0" t="n">
        <f aca="false">E30*F30</f>
        <v>-0.000648183186961062</v>
      </c>
    </row>
    <row r="31" customFormat="false" ht="14.25" hidden="false" customHeight="false" outlineLevel="0" collapsed="false">
      <c r="A31" s="0" t="n">
        <v>88</v>
      </c>
      <c r="B31" s="0" t="n">
        <f aca="false">A31+273</f>
        <v>361</v>
      </c>
      <c r="C31" s="0" t="n">
        <v>1.205</v>
      </c>
      <c r="D31" s="0" t="n">
        <f aca="false">C31*10^3</f>
        <v>1205</v>
      </c>
      <c r="E31" s="0" t="n">
        <f aca="false">1/B31</f>
        <v>0.00277008310249308</v>
      </c>
      <c r="F31" s="0" t="n">
        <f aca="false">LN(1/C31)</f>
        <v>-0.186479566942618</v>
      </c>
      <c r="G31" s="0" t="n">
        <f aca="false">E31^2</f>
        <v>7.67336039471766E-006</v>
      </c>
      <c r="H31" s="0" t="n">
        <f aca="false">E31*F31</f>
        <v>-0.000516563897347973</v>
      </c>
    </row>
    <row r="32" customFormat="false" ht="14.25" hidden="false" customHeight="false" outlineLevel="0" collapsed="false">
      <c r="A32" s="0" t="n">
        <v>90</v>
      </c>
      <c r="B32" s="0" t="n">
        <f aca="false">A32+273</f>
        <v>363</v>
      </c>
      <c r="C32" s="0" t="n">
        <v>1.166</v>
      </c>
      <c r="D32" s="0" t="n">
        <f aca="false">C32*10^3</f>
        <v>1166</v>
      </c>
      <c r="E32" s="0" t="n">
        <f aca="false">1/B32</f>
        <v>0.00275482093663912</v>
      </c>
      <c r="F32" s="0" t="n">
        <f aca="false">LN(1/C32)</f>
        <v>-0.153579087928301</v>
      </c>
      <c r="G32" s="0" t="n">
        <f aca="false">E32^2</f>
        <v>7.58903839294523E-006</v>
      </c>
      <c r="H32" s="0" t="n">
        <f aca="false">E32*F32</f>
        <v>-0.000423082886854822</v>
      </c>
    </row>
    <row r="33" customFormat="false" ht="14.25" hidden="false" customHeight="false" outlineLevel="0" collapsed="false">
      <c r="A33" s="0" t="n">
        <v>92</v>
      </c>
      <c r="B33" s="0" t="n">
        <f aca="false">A33+273</f>
        <v>365</v>
      </c>
      <c r="C33" s="0" t="n">
        <v>1.133</v>
      </c>
      <c r="D33" s="0" t="n">
        <f aca="false">C33*10^3</f>
        <v>1133</v>
      </c>
      <c r="E33" s="0" t="n">
        <f aca="false">1/B33</f>
        <v>0.00273972602739726</v>
      </c>
      <c r="F33" s="0" t="n">
        <f aca="false">LN(1/C33)</f>
        <v>-0.124868982045869</v>
      </c>
      <c r="G33" s="0" t="n">
        <f aca="false">E33^2</f>
        <v>7.50609870519797E-006</v>
      </c>
      <c r="H33" s="0" t="n">
        <f aca="false">E33*F33</f>
        <v>-0.000342106800125669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2017-09-07T08:25:17Z</dcterms:created>
  <dc:creator>Devendra</dc:creator>
  <dc:description/>
  <dc:language>en-GB</dc:language>
  <cp:lastModifiedBy/>
  <dcterms:modified xsi:type="dcterms:W3CDTF">2026-05-23T06:05:22Z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